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defaultThemeVersion="202300"/>
  <mc:AlternateContent xmlns:mc="http://schemas.openxmlformats.org/markup-compatibility/2006">
    <mc:Choice Requires="x15">
      <x15ac:absPath xmlns:x15ac="http://schemas.microsoft.com/office/spreadsheetml/2010/11/ac" url="/Users/anupsingh/Desktop/DPP/"/>
    </mc:Choice>
  </mc:AlternateContent>
  <xr:revisionPtr revIDLastSave="0" documentId="8_{94ECDF5D-A889-834B-BCAD-F705C070CF82}" xr6:coauthVersionLast="47" xr6:coauthVersionMax="47" xr10:uidLastSave="{00000000-0000-0000-0000-000000000000}"/>
  <bookViews>
    <workbookView xWindow="0" yWindow="580" windowWidth="25600" windowHeight="16060" xr2:uid="{E98F0798-991A-4A44-969A-A743DC3EF9B0}"/>
  </bookViews>
  <sheets>
    <sheet name="Sheet1" sheetId="1" r:id="rId1"/>
  </sheets>
  <definedNames>
    <definedName name="Slicer_Salesperson">#N/A</definedName>
  </definedNames>
  <calcPr calcId="191029"/>
  <pivotCaches>
    <pivotCache cacheId="4" r:id="rId2"/>
    <pivotCache cacheId="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 l="1"/>
  <c r="I5" i="1"/>
  <c r="I6" i="1"/>
  <c r="I7" i="1"/>
  <c r="I8" i="1"/>
  <c r="I9" i="1"/>
  <c r="I10" i="1"/>
  <c r="I11" i="1"/>
  <c r="I12" i="1"/>
  <c r="I3" i="1"/>
</calcChain>
</file>

<file path=xl/sharedStrings.xml><?xml version="1.0" encoding="utf-8"?>
<sst xmlns="http://schemas.openxmlformats.org/spreadsheetml/2006/main" count="142" uniqueCount="80">
  <si>
    <t>Transaction ID</t>
  </si>
  <si>
    <t>Salesperson</t>
  </si>
  <si>
    <t>Region</t>
  </si>
  <si>
    <t>Product</t>
  </si>
  <si>
    <t>Category</t>
  </si>
  <si>
    <t>Date</t>
  </si>
  <si>
    <t>Revenue ($)</t>
  </si>
  <si>
    <t>Cost ($)</t>
  </si>
  <si>
    <t>Alice</t>
  </si>
  <si>
    <t>North</t>
  </si>
  <si>
    <t>Laptop</t>
  </si>
  <si>
    <t>Electronics</t>
  </si>
  <si>
    <t>Bob</t>
  </si>
  <si>
    <t>South</t>
  </si>
  <si>
    <t>Phone</t>
  </si>
  <si>
    <t>Charlie</t>
  </si>
  <si>
    <t>East</t>
  </si>
  <si>
    <t>Chair</t>
  </si>
  <si>
    <t>Furniture</t>
  </si>
  <si>
    <t>West</t>
  </si>
  <si>
    <t>Desk</t>
  </si>
  <si>
    <t>Row Labels</t>
  </si>
  <si>
    <t>Grand Total</t>
  </si>
  <si>
    <t>Sum of Revenue ($)</t>
  </si>
  <si>
    <t>Q 1</t>
  </si>
  <si>
    <t>Q 2</t>
  </si>
  <si>
    <t>Using a Pivot Table, how can you filter dataset to show only sales for electronics ?</t>
  </si>
  <si>
    <r>
      <t xml:space="preserve">Go to </t>
    </r>
    <r>
      <rPr>
        <b/>
        <sz val="11"/>
        <color theme="1"/>
        <rFont val="Aptos Narrow"/>
        <family val="2"/>
        <scheme val="minor"/>
      </rPr>
      <t>Insert → PivotTable</t>
    </r>
    <r>
      <rPr>
        <sz val="12"/>
        <color theme="1"/>
        <rFont val="Aptos Narrow"/>
        <family val="2"/>
        <scheme val="minor"/>
      </rPr>
      <t>.</t>
    </r>
  </si>
  <si>
    <t>You’ll now see total revenue summarized by each region.</t>
  </si>
  <si>
    <t>Steps Involved in Creating the Pivot Table</t>
  </si>
  <si>
    <r>
      <t xml:space="preserve">Drag </t>
    </r>
    <r>
      <rPr>
        <b/>
        <sz val="11"/>
        <color theme="1"/>
        <rFont val="Aptos Narrow"/>
        <family val="2"/>
        <scheme val="minor"/>
      </rPr>
      <t>Region</t>
    </r>
    <r>
      <rPr>
        <sz val="12"/>
        <color theme="1"/>
        <rFont val="Aptos Narrow"/>
        <family val="2"/>
        <scheme val="minor"/>
      </rPr>
      <t xml:space="preserve"> in the </t>
    </r>
    <r>
      <rPr>
        <b/>
        <sz val="11"/>
        <color theme="1"/>
        <rFont val="Aptos Narrow"/>
        <family val="2"/>
        <scheme val="minor"/>
      </rPr>
      <t>Rows</t>
    </r>
    <r>
      <rPr>
        <sz val="12"/>
        <color theme="1"/>
        <rFont val="Aptos Narrow"/>
        <family val="2"/>
        <scheme val="minor"/>
      </rPr>
      <t xml:space="preserve"> area.</t>
    </r>
  </si>
  <si>
    <r>
      <t xml:space="preserve">Place </t>
    </r>
    <r>
      <rPr>
        <b/>
        <sz val="11"/>
        <color theme="1"/>
        <rFont val="Aptos Narrow"/>
        <family val="2"/>
        <scheme val="minor"/>
      </rPr>
      <t>Revenue</t>
    </r>
    <r>
      <rPr>
        <sz val="12"/>
        <color theme="1"/>
        <rFont val="Aptos Narrow"/>
        <family val="2"/>
        <scheme val="minor"/>
      </rPr>
      <t xml:space="preserve"> in the </t>
    </r>
    <r>
      <rPr>
        <b/>
        <sz val="11"/>
        <color theme="1"/>
        <rFont val="Aptos Narrow"/>
        <family val="2"/>
        <scheme val="minor"/>
      </rPr>
      <t>Values</t>
    </r>
    <r>
      <rPr>
        <sz val="12"/>
        <color theme="1"/>
        <rFont val="Aptos Narrow"/>
        <family val="2"/>
        <scheme val="minor"/>
      </rPr>
      <t xml:space="preserve"> area.</t>
    </r>
  </si>
  <si>
    <r>
      <t xml:space="preserve">Use the dropdown filter above the pivot table to select </t>
    </r>
    <r>
      <rPr>
        <b/>
        <sz val="11"/>
        <color theme="1"/>
        <rFont val="Aptos Narrow"/>
        <family val="2"/>
        <scheme val="minor"/>
      </rPr>
      <t>Electronics</t>
    </r>
    <r>
      <rPr>
        <sz val="12"/>
        <color theme="1"/>
        <rFont val="Aptos Narrow"/>
        <family val="2"/>
        <scheme val="minor"/>
      </rPr>
      <t>.</t>
    </r>
  </si>
  <si>
    <t>The table will now display only sales for Electronics.</t>
  </si>
  <si>
    <r>
      <t xml:space="preserve">In the PivotTable Field, drag </t>
    </r>
    <r>
      <rPr>
        <b/>
        <sz val="11"/>
        <color theme="1"/>
        <rFont val="Aptos Narrow"/>
        <family val="2"/>
        <scheme val="minor"/>
      </rPr>
      <t>Category</t>
    </r>
    <r>
      <rPr>
        <sz val="12"/>
        <color theme="1"/>
        <rFont val="Aptos Narrow"/>
        <family val="2"/>
        <scheme val="minor"/>
      </rPr>
      <t xml:space="preserve"> into the </t>
    </r>
    <r>
      <rPr>
        <b/>
        <sz val="11"/>
        <color theme="1"/>
        <rFont val="Aptos Narrow"/>
        <family val="2"/>
        <scheme val="minor"/>
      </rPr>
      <t>Filters</t>
    </r>
    <r>
      <rPr>
        <sz val="12"/>
        <color theme="1"/>
        <rFont val="Aptos Narrow"/>
        <family val="2"/>
        <scheme val="minor"/>
      </rPr>
      <t xml:space="preserve"> area.</t>
    </r>
  </si>
  <si>
    <t>Create a pivot table to summarise the Total revenue for each regioin. What Steps would you follow ?</t>
  </si>
  <si>
    <t>Q 3</t>
  </si>
  <si>
    <t>How can you sort the Pivot Table so that regions with the highest revenue appear at the top ?</t>
  </si>
  <si>
    <t>Answer:-</t>
  </si>
  <si>
    <t>Sorting Revenue in Descending Order.</t>
  </si>
  <si>
    <t>Steps Involved in Sorting Revenue in Descending Order</t>
  </si>
  <si>
    <t>In the Pivot table select any Value Of Revenue</t>
  </si>
  <si>
    <r>
      <t xml:space="preserve">Then click Right → </t>
    </r>
    <r>
      <rPr>
        <b/>
        <sz val="11"/>
        <color theme="1"/>
        <rFont val="Aptos Narrow"/>
        <family val="2"/>
        <scheme val="minor"/>
      </rPr>
      <t>Sort → Sort Largest to Smallest(Z to A)</t>
    </r>
    <r>
      <rPr>
        <sz val="12"/>
        <color theme="1"/>
        <rFont val="Aptos Narrow"/>
        <family val="2"/>
        <scheme val="minor"/>
      </rPr>
      <t>.</t>
    </r>
  </si>
  <si>
    <t>Steps Invloved in filtering the data</t>
  </si>
  <si>
    <t>Now the highest Region Value will appear at the top.</t>
  </si>
  <si>
    <t>How would you group the transaction by month to analyze sales trends over time ?</t>
  </si>
  <si>
    <t>Q4</t>
  </si>
  <si>
    <t>Answer :-</t>
  </si>
  <si>
    <r>
      <t xml:space="preserve">Drag </t>
    </r>
    <r>
      <rPr>
        <b/>
        <sz val="11"/>
        <color theme="1"/>
        <rFont val="Aptos Narrow"/>
        <family val="2"/>
        <scheme val="minor"/>
      </rPr>
      <t>Transaction Date</t>
    </r>
    <r>
      <rPr>
        <sz val="12"/>
        <color theme="1"/>
        <rFont val="Aptos Narrow"/>
        <family val="2"/>
        <scheme val="minor"/>
      </rPr>
      <t xml:space="preserve"> into the </t>
    </r>
    <r>
      <rPr>
        <b/>
        <sz val="11"/>
        <color theme="1"/>
        <rFont val="Aptos Narrow"/>
        <family val="2"/>
        <scheme val="minor"/>
      </rPr>
      <t>Rows</t>
    </r>
    <r>
      <rPr>
        <sz val="12"/>
        <color theme="1"/>
        <rFont val="Aptos Narrow"/>
        <family val="2"/>
        <scheme val="minor"/>
      </rPr>
      <t xml:space="preserve"> area.</t>
    </r>
  </si>
  <si>
    <r>
      <t xml:space="preserve">Right-click any date → </t>
    </r>
    <r>
      <rPr>
        <b/>
        <sz val="11"/>
        <color theme="1"/>
        <rFont val="Aptos Narrow"/>
        <family val="2"/>
        <scheme val="minor"/>
      </rPr>
      <t>Group</t>
    </r>
    <r>
      <rPr>
        <sz val="12"/>
        <color theme="1"/>
        <rFont val="Aptos Narrow"/>
        <family val="2"/>
        <scheme val="minor"/>
      </rPr>
      <t>.</t>
    </r>
  </si>
  <si>
    <t>Now you we can analyze monthly sales trends.</t>
  </si>
  <si>
    <t>Steps to group the transaction by Month</t>
  </si>
  <si>
    <r>
      <t xml:space="preserve">Click </t>
    </r>
    <r>
      <rPr>
        <b/>
        <sz val="12"/>
        <color theme="1"/>
        <rFont val="Aptos Narrow"/>
        <scheme val="minor"/>
      </rPr>
      <t>Month</t>
    </r>
  </si>
  <si>
    <t>Q5</t>
  </si>
  <si>
    <t>Profit</t>
  </si>
  <si>
    <t>Sum of Profit</t>
  </si>
  <si>
    <t>Answer</t>
  </si>
  <si>
    <t>Create a calculated field in the Pivot table to determine Profit for each salesperson.</t>
  </si>
  <si>
    <t>Q6</t>
  </si>
  <si>
    <t>How would you use slicer to filter data by a Salesperson so that you can quickly compare perfomance ?</t>
  </si>
  <si>
    <t>Sales Transaction Dataset</t>
  </si>
  <si>
    <r>
      <t xml:space="preserve">Select </t>
    </r>
    <r>
      <rPr>
        <b/>
        <sz val="11"/>
        <color theme="1"/>
        <rFont val="Aptos Narrow"/>
        <family val="2"/>
        <scheme val="minor"/>
      </rPr>
      <t>Salesperson</t>
    </r>
    <r>
      <rPr>
        <sz val="12"/>
        <color theme="1"/>
        <rFont val="Aptos Narrow"/>
        <family val="2"/>
        <scheme val="minor"/>
      </rPr>
      <t>.</t>
    </r>
  </si>
  <si>
    <t>A slicer box appears; click on names to filter the pivot table instantly.</t>
  </si>
  <si>
    <t>Steps Involved in using slicer to filter data by salesperson</t>
  </si>
  <si>
    <r>
      <t xml:space="preserve">Click inside the pivot table then </t>
    </r>
    <r>
      <rPr>
        <b/>
        <sz val="11"/>
        <color theme="1"/>
        <rFont val="Aptos Narrow"/>
        <family val="2"/>
        <scheme val="minor"/>
      </rPr>
      <t>Insert Slicer</t>
    </r>
    <r>
      <rPr>
        <sz val="12"/>
        <color theme="1"/>
        <rFont val="Aptos Narrow"/>
        <family val="2"/>
        <scheme val="minor"/>
      </rPr>
      <t>.</t>
    </r>
  </si>
  <si>
    <t>Q7</t>
  </si>
  <si>
    <t xml:space="preserve">Using the Pivot table, determine which Product category generated the highest total revenue. </t>
  </si>
  <si>
    <t>Electronics have generated the highest Revenue</t>
  </si>
  <si>
    <t xml:space="preserve">Answer </t>
  </si>
  <si>
    <t>Q8</t>
  </si>
  <si>
    <t>Apply conditional formatting to highlight transaction where revenue is greater than  $1,500.</t>
  </si>
  <si>
    <t>Q9</t>
  </si>
  <si>
    <t>Q10</t>
  </si>
  <si>
    <t>If new transaction are added to the dataset, what steps must you take to update the pivot table so that is reflects the last data ?</t>
  </si>
  <si>
    <t xml:space="preserve">Convert Pivot table into Pivot Chart to visually compare revenue by product category. </t>
  </si>
  <si>
    <t>Which type of chart would be most suitable?</t>
  </si>
  <si>
    <r>
      <t xml:space="preserve">Ensure the dataset range includes the new rows (or convert it to a </t>
    </r>
    <r>
      <rPr>
        <b/>
        <sz val="11"/>
        <color theme="1"/>
        <rFont val="Aptos Narrow"/>
        <family val="2"/>
        <scheme val="minor"/>
      </rPr>
      <t>Table</t>
    </r>
    <r>
      <rPr>
        <sz val="12"/>
        <color theme="1"/>
        <rFont val="Aptos Narrow"/>
        <family val="2"/>
        <scheme val="minor"/>
      </rPr>
      <t xml:space="preserve"> for auto-expansion).</t>
    </r>
  </si>
  <si>
    <r>
      <t xml:space="preserve">Click inside the pivot table → </t>
    </r>
    <r>
      <rPr>
        <b/>
        <sz val="11"/>
        <color theme="1"/>
        <rFont val="Aptos Narrow"/>
        <family val="2"/>
        <scheme val="minor"/>
      </rPr>
      <t>PivotTable Analyze → Refresh</t>
    </r>
    <r>
      <rPr>
        <sz val="12"/>
        <color theme="1"/>
        <rFont val="Aptos Narrow"/>
        <family val="2"/>
        <scheme val="minor"/>
      </rPr>
      <t>.</t>
    </r>
  </si>
  <si>
    <t>The pivot table will update with the latest data.</t>
  </si>
  <si>
    <t>Steps to Update the 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</si>
</sst>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Aptos Narrow"/>
      <family val="2"/>
      <scheme val="minor"/>
    </font>
    <font>
      <b/>
      <sz val="12"/>
      <color theme="1"/>
      <name val="Aptos Narrow"/>
      <family val="2"/>
      <scheme val="minor"/>
    </font>
    <font>
      <b/>
      <sz val="10"/>
      <color theme="1"/>
      <name val="Arial"/>
      <family val="2"/>
    </font>
    <font>
      <sz val="10"/>
      <color theme="1"/>
      <name val="Arial"/>
      <family val="2"/>
    </font>
    <font>
      <b/>
      <sz val="12"/>
      <color theme="1"/>
      <name val="Aptos Narrow"/>
      <scheme val="minor"/>
    </font>
    <font>
      <b/>
      <sz val="11"/>
      <color theme="1"/>
      <name val="Aptos Narrow"/>
      <family val="2"/>
      <scheme val="minor"/>
    </font>
    <font>
      <b/>
      <sz val="12"/>
      <color theme="4"/>
      <name val="Aptos Narrow"/>
      <scheme val="minor"/>
    </font>
    <font>
      <sz val="12"/>
      <color theme="4"/>
      <name val="Aptos Narrow"/>
      <scheme val="minor"/>
    </font>
    <font>
      <b/>
      <sz val="14"/>
      <color theme="1"/>
      <name val="Aptos Narrow"/>
      <scheme val="minor"/>
    </font>
    <font>
      <sz val="14"/>
      <color theme="1"/>
      <name val="Aptos Narrow"/>
      <scheme val="minor"/>
    </font>
    <font>
      <b/>
      <sz val="14"/>
      <color theme="1"/>
      <name val="Aptos Narrow"/>
      <family val="2"/>
      <scheme val="minor"/>
    </font>
    <font>
      <b/>
      <sz val="12"/>
      <color theme="1"/>
      <name val="Arial"/>
      <family val="2"/>
    </font>
    <font>
      <sz val="12"/>
      <color theme="4"/>
      <name val="Aptos Narrow"/>
      <family val="2"/>
      <scheme val="minor"/>
    </font>
    <font>
      <b/>
      <sz val="10"/>
      <color theme="4"/>
      <name val="Arial"/>
      <family val="2"/>
    </font>
    <font>
      <b/>
      <sz val="16"/>
      <color theme="1"/>
      <name val="Aptos Narrow"/>
      <scheme val="minor"/>
    </font>
    <font>
      <b/>
      <sz val="11"/>
      <color theme="4"/>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2" fillId="0" borderId="1" xfId="0" applyFont="1" applyBorder="1"/>
    <xf numFmtId="0" fontId="3" fillId="0" borderId="1" xfId="0" applyFont="1" applyBorder="1" applyAlignment="1">
      <alignment horizontal="center"/>
    </xf>
    <xf numFmtId="14" fontId="3" fillId="0" borderId="1" xfId="0" applyNumberFormat="1" applyFont="1" applyBorder="1" applyAlignment="1">
      <alignment horizontal="center"/>
    </xf>
    <xf numFmtId="0" fontId="0" fillId="0" borderId="0" xfId="0" pivotButton="1"/>
    <xf numFmtId="0" fontId="0" fillId="0" borderId="0" xfId="0" applyAlignment="1">
      <alignment horizontal="left"/>
    </xf>
    <xf numFmtId="0" fontId="4" fillId="0" borderId="0" xfId="0" applyFont="1"/>
    <xf numFmtId="0" fontId="0" fillId="0" borderId="0" xfId="0" applyAlignment="1">
      <alignment horizontal="left" vertical="center" indent="1"/>
    </xf>
    <xf numFmtId="0" fontId="6" fillId="0" borderId="0" xfId="0" applyFont="1"/>
    <xf numFmtId="0" fontId="7" fillId="0" borderId="0" xfId="0" applyFont="1"/>
    <xf numFmtId="0" fontId="1" fillId="0" borderId="0" xfId="0" applyFont="1"/>
    <xf numFmtId="0" fontId="2" fillId="0" borderId="1" xfId="0" applyFont="1" applyBorder="1" applyAlignment="1">
      <alignment horizontal="center"/>
    </xf>
    <xf numFmtId="0" fontId="8" fillId="0" borderId="0" xfId="0" applyFont="1"/>
    <xf numFmtId="0" fontId="8" fillId="0" borderId="0" xfId="0" applyFont="1" applyAlignment="1">
      <alignment horizontal="left" vertical="center" indent="1"/>
    </xf>
    <xf numFmtId="0" fontId="9" fillId="0" borderId="0" xfId="0" applyFont="1"/>
    <xf numFmtId="0" fontId="8" fillId="0" borderId="0" xfId="0" applyFont="1" applyAlignment="1">
      <alignment horizontal="left"/>
    </xf>
    <xf numFmtId="0" fontId="10" fillId="0" borderId="0" xfId="0" applyFont="1"/>
    <xf numFmtId="0" fontId="11" fillId="0" borderId="0" xfId="0" applyFont="1"/>
    <xf numFmtId="0" fontId="13" fillId="0" borderId="1" xfId="0" applyFont="1" applyBorder="1" applyAlignment="1">
      <alignment horizontal="center"/>
    </xf>
    <xf numFmtId="0" fontId="12" fillId="0" borderId="1" xfId="0" applyFont="1" applyBorder="1" applyAlignment="1">
      <alignment horizontal="center"/>
    </xf>
    <xf numFmtId="0" fontId="13" fillId="0" borderId="0" xfId="0" applyFont="1" applyAlignment="1">
      <alignment horizontal="center"/>
    </xf>
    <xf numFmtId="0" fontId="12" fillId="0" borderId="0" xfId="0" applyFont="1" applyAlignment="1">
      <alignment horizontal="center"/>
    </xf>
    <xf numFmtId="0" fontId="14" fillId="0" borderId="0" xfId="0" applyFont="1"/>
    <xf numFmtId="0" fontId="8" fillId="0" borderId="0" xfId="0" applyFont="1" applyAlignment="1">
      <alignment horizontal="left" indent="1"/>
    </xf>
    <xf numFmtId="0" fontId="0" fillId="0" borderId="0" xfId="0" applyNumberFormat="1"/>
    <xf numFmtId="0" fontId="6" fillId="0" borderId="0" xfId="0" applyFont="1" applyAlignment="1">
      <alignment horizontal="left"/>
    </xf>
    <xf numFmtId="0" fontId="0" fillId="0" borderId="0" xfId="0" applyAlignment="1">
      <alignment horizontal="left" vertical="center" indent="2"/>
    </xf>
    <xf numFmtId="0" fontId="15" fillId="0" borderId="0" xfId="0" applyFont="1" applyAlignment="1">
      <alignment horizontal="left" vertical="center" indent="1"/>
    </xf>
  </cellXfs>
  <cellStyles count="1">
    <cellStyle name="Normal" xfId="0" builtinId="0"/>
  </cellStyles>
  <dxfs count="3">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2.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[DPP 18.xlsx]Sheet1!PivotTable6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Sheet1!$C$93</c:f>
              <c:strCache>
                <c:ptCount val="1"/>
                <c:pt idx="0">
                  <c:v>Total</c:v>
                </c:pt>
              </c:strCache>
            </c:strRef>
          </c:tx>
          <c:spPr>
            <a:solidFill>
              <a:schemeClr val="accent1"/>
            </a:solidFill>
            <a:ln>
              <a:noFill/>
            </a:ln>
            <a:effectLst/>
          </c:spPr>
          <c:invertIfNegative val="0"/>
          <c:cat>
            <c:strRef>
              <c:f>Sheet1!$B$94:$B$96</c:f>
              <c:strCache>
                <c:ptCount val="2"/>
                <c:pt idx="0">
                  <c:v>Electronics</c:v>
                </c:pt>
                <c:pt idx="1">
                  <c:v>Furniture</c:v>
                </c:pt>
              </c:strCache>
            </c:strRef>
          </c:cat>
          <c:val>
            <c:numRef>
              <c:f>Sheet1!$C$94:$C$96</c:f>
              <c:numCache>
                <c:formatCode>General</c:formatCode>
                <c:ptCount val="2"/>
                <c:pt idx="0">
                  <c:v>7250</c:v>
                </c:pt>
                <c:pt idx="1">
                  <c:v>1700</c:v>
                </c:pt>
              </c:numCache>
            </c:numRef>
          </c:val>
          <c:extLst>
            <c:ext xmlns:c16="http://schemas.microsoft.com/office/drawing/2014/chart" uri="{C3380CC4-5D6E-409C-BE32-E72D297353CC}">
              <c16:uniqueId val="{00000000-5E05-1D4F-B519-A1D4B23563CD}"/>
            </c:ext>
          </c:extLst>
        </c:ser>
        <c:dLbls>
          <c:showLegendKey val="0"/>
          <c:showVal val="0"/>
          <c:showCatName val="0"/>
          <c:showSerName val="0"/>
          <c:showPercent val="0"/>
          <c:showBubbleSize val="0"/>
        </c:dLbls>
        <c:gapWidth val="219"/>
        <c:overlap val="-27"/>
        <c:axId val="1764896576"/>
        <c:axId val="1756836096"/>
      </c:barChart>
      <c:catAx>
        <c:axId val="176489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836096"/>
        <c:crosses val="autoZero"/>
        <c:auto val="1"/>
        <c:lblAlgn val="ctr"/>
        <c:lblOffset val="100"/>
        <c:noMultiLvlLbl val="0"/>
      </c:catAx>
      <c:valAx>
        <c:axId val="175683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89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8467</xdr:colOff>
      <xdr:row>54</xdr:row>
      <xdr:rowOff>2</xdr:rowOff>
    </xdr:from>
    <xdr:to>
      <xdr:col>6</xdr:col>
      <xdr:colOff>16933</xdr:colOff>
      <xdr:row>60</xdr:row>
      <xdr:rowOff>2</xdr:rowOff>
    </xdr:to>
    <mc:AlternateContent xmlns:mc="http://schemas.openxmlformats.org/markup-compatibility/2006">
      <mc:Choice xmlns:a14="http://schemas.microsoft.com/office/drawing/2010/main" Requires="a14">
        <xdr:graphicFrame macro="">
          <xdr:nvGraphicFramePr>
            <xdr:cNvPr id="2" name="Salesperson">
              <a:extLst>
                <a:ext uri="{FF2B5EF4-FFF2-40B4-BE49-F238E27FC236}">
                  <a16:creationId xmlns:a16="http://schemas.microsoft.com/office/drawing/2014/main" id="{D85B2DAF-7471-ED10-0D77-012D74929967}"/>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4165600" y="11345335"/>
              <a:ext cx="18288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12701</xdr:colOff>
      <xdr:row>97</xdr:row>
      <xdr:rowOff>16933</xdr:rowOff>
    </xdr:from>
    <xdr:to>
      <xdr:col>2</xdr:col>
      <xdr:colOff>1286934</xdr:colOff>
      <xdr:row>106</xdr:row>
      <xdr:rowOff>194734</xdr:rowOff>
    </xdr:to>
    <xdr:graphicFrame macro="">
      <xdr:nvGraphicFramePr>
        <xdr:cNvPr id="3" name="Chart 2">
          <a:extLst>
            <a:ext uri="{FF2B5EF4-FFF2-40B4-BE49-F238E27FC236}">
              <a16:creationId xmlns:a16="http://schemas.microsoft.com/office/drawing/2014/main" id="{E68152DB-FE0B-842F-A5EF-2DA1A5000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p Singh" refreshedDate="46008.45979710648" createdVersion="8" refreshedVersion="8" minRefreshableVersion="3" recordCount="10" xr:uid="{1F2E26B6-AB8C-D14F-8B43-60AFE4BBB706}">
  <cacheSource type="worksheet">
    <worksheetSource ref="A2:H12" sheet="Sheet1"/>
  </cacheSource>
  <cacheFields count="9">
    <cacheField name="Transaction ID" numFmtId="0">
      <sharedItems containsSemiMixedTypes="0" containsString="0" containsNumber="1" containsInteger="1" minValue="1001" maxValue="1010" count="10">
        <n v="1001"/>
        <n v="1002"/>
        <n v="1003"/>
        <n v="1004"/>
        <n v="1005"/>
        <n v="1006"/>
        <n v="1007"/>
        <n v="1008"/>
        <n v="1009"/>
        <n v="1010"/>
      </sharedItems>
    </cacheField>
    <cacheField name="Salesperson" numFmtId="0">
      <sharedItems count="3">
        <s v="Alice"/>
        <s v="Bob"/>
        <s v="Charlie"/>
      </sharedItems>
    </cacheField>
    <cacheField name="Region" numFmtId="0">
      <sharedItems count="4">
        <s v="North"/>
        <s v="South"/>
        <s v="East"/>
        <s v="West"/>
      </sharedItems>
    </cacheField>
    <cacheField name="Product" numFmtId="0">
      <sharedItems/>
    </cacheField>
    <cacheField name="Category" numFmtId="0">
      <sharedItems count="2">
        <s v="Electronics"/>
        <s v="Furniture"/>
      </sharedItems>
    </cacheField>
    <cacheField name="Date" numFmtId="14">
      <sharedItems containsSemiMixedTypes="0" containsNonDate="0" containsDate="1" containsString="0" minDate="2024-01-12T00:00:00" maxDate="2024-06-04T00:00:00" count="10">
        <d v="2024-01-12T00:00:00"/>
        <d v="2024-02-18T00:00:00"/>
        <d v="2024-02-25T00:00:00"/>
        <d v="2024-03-05T00:00:00"/>
        <d v="2024-03-18T00:00:00"/>
        <d v="2024-04-10T00:00:00"/>
        <d v="2024-04-22T00:00:00"/>
        <d v="2024-05-14T00:00:00"/>
        <d v="2024-05-28T00:00:00"/>
        <d v="2024-06-03T00:00:00"/>
      </sharedItems>
      <fieldGroup par="8"/>
    </cacheField>
    <cacheField name="Revenue ($)" numFmtId="0">
      <sharedItems containsSemiMixedTypes="0" containsString="0" containsNumber="1" containsInteger="1" minValue="300" maxValue="1700"/>
    </cacheField>
    <cacheField name="Cost ($)" numFmtId="0">
      <sharedItems containsSemiMixedTypes="0" containsString="0" containsNumber="1" containsInteger="1" minValue="150" maxValue="1200"/>
    </cacheField>
    <cacheField name="Months (Date)" numFmtId="0" databaseField="0">
      <fieldGroup base="5">
        <rangePr groupBy="months" startDate="2024-01-12T00:00:00" endDate="2024-06-04T00:00:00"/>
        <groupItems count="14">
          <s v="&lt;12/01/24"/>
          <s v="Jan"/>
          <s v="Feb"/>
          <s v="Mar"/>
          <s v="Apr"/>
          <s v="May"/>
          <s v="Jun"/>
          <s v="Jul"/>
          <s v="Aug"/>
          <s v="Sep"/>
          <s v="Oct"/>
          <s v="Nov"/>
          <s v="Dec"/>
          <s v="&gt;04/06/24"/>
        </groupItems>
      </fieldGroup>
    </cacheField>
  </cacheFields>
  <extLst>
    <ext xmlns:x14="http://schemas.microsoft.com/office/spreadsheetml/2009/9/main" uri="{725AE2AE-9491-48be-B2B4-4EB974FC3084}">
      <x14:pivotCacheDefinition pivotCacheId="4214044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p Singh" refreshedDate="46008.885318749999" createdVersion="8" refreshedVersion="8" minRefreshableVersion="3" recordCount="10" xr:uid="{9C932DE1-75EC-8B46-910B-73E9515B7A35}">
  <cacheSource type="worksheet">
    <worksheetSource ref="A2:I12" sheet="Sheet1"/>
  </cacheSource>
  <cacheFields count="9">
    <cacheField name="Transaction ID" numFmtId="0">
      <sharedItems containsSemiMixedTypes="0" containsString="0" containsNumber="1" containsInteger="1" minValue="1001" maxValue="1010"/>
    </cacheField>
    <cacheField name="Salesperson" numFmtId="0">
      <sharedItems count="3">
        <s v="Alice"/>
        <s v="Bob"/>
        <s v="Charlie"/>
      </sharedItems>
    </cacheField>
    <cacheField name="Region" numFmtId="0">
      <sharedItems/>
    </cacheField>
    <cacheField name="Product" numFmtId="0">
      <sharedItems/>
    </cacheField>
    <cacheField name="Category" numFmtId="0">
      <sharedItems/>
    </cacheField>
    <cacheField name="Date" numFmtId="14">
      <sharedItems containsSemiMixedTypes="0" containsNonDate="0" containsDate="1" containsString="0" minDate="2024-01-12T00:00:00" maxDate="2024-06-04T00:00:00"/>
    </cacheField>
    <cacheField name="Revenue ($)" numFmtId="0">
      <sharedItems containsSemiMixedTypes="0" containsString="0" containsNumber="1" containsInteger="1" minValue="300" maxValue="1700"/>
    </cacheField>
    <cacheField name="Cost ($)" numFmtId="0">
      <sharedItems containsSemiMixedTypes="0" containsString="0" containsNumber="1" containsInteger="1" minValue="150" maxValue="1200"/>
    </cacheField>
    <cacheField name="Profit" numFmtId="0">
      <sharedItems containsSemiMixedTypes="0" containsString="0" containsNumber="1" containsInteger="1" minValue="150" maxValue="5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s v="Laptop"/>
    <x v="0"/>
    <x v="0"/>
    <n v="1500"/>
    <n v="1000"/>
  </r>
  <r>
    <x v="1"/>
    <x v="1"/>
    <x v="1"/>
    <s v="Phone"/>
    <x v="0"/>
    <x v="1"/>
    <n v="800"/>
    <n v="500"/>
  </r>
  <r>
    <x v="2"/>
    <x v="2"/>
    <x v="2"/>
    <s v="Laptop"/>
    <x v="0"/>
    <x v="2"/>
    <n v="1600"/>
    <n v="1100"/>
  </r>
  <r>
    <x v="3"/>
    <x v="0"/>
    <x v="0"/>
    <s v="Chair"/>
    <x v="1"/>
    <x v="3"/>
    <n v="300"/>
    <n v="150"/>
  </r>
  <r>
    <x v="4"/>
    <x v="1"/>
    <x v="3"/>
    <s v="Desk"/>
    <x v="1"/>
    <x v="4"/>
    <n v="500"/>
    <n v="300"/>
  </r>
  <r>
    <x v="5"/>
    <x v="2"/>
    <x v="2"/>
    <s v="Phone"/>
    <x v="0"/>
    <x v="5"/>
    <n v="900"/>
    <n v="600"/>
  </r>
  <r>
    <x v="6"/>
    <x v="0"/>
    <x v="0"/>
    <s v="Desk"/>
    <x v="1"/>
    <x v="6"/>
    <n v="550"/>
    <n v="350"/>
  </r>
  <r>
    <x v="7"/>
    <x v="1"/>
    <x v="1"/>
    <s v="Laptop"/>
    <x v="0"/>
    <x v="7"/>
    <n v="1700"/>
    <n v="1200"/>
  </r>
  <r>
    <x v="8"/>
    <x v="2"/>
    <x v="2"/>
    <s v="Chair"/>
    <x v="1"/>
    <x v="8"/>
    <n v="350"/>
    <n v="200"/>
  </r>
  <r>
    <x v="9"/>
    <x v="0"/>
    <x v="3"/>
    <s v="Phone"/>
    <x v="0"/>
    <x v="9"/>
    <n v="750"/>
    <n v="4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x v="0"/>
    <s v="North"/>
    <s v="Laptop"/>
    <s v="Electronics"/>
    <d v="2024-01-12T00:00:00"/>
    <n v="1500"/>
    <n v="1000"/>
    <n v="500"/>
  </r>
  <r>
    <n v="1002"/>
    <x v="1"/>
    <s v="South"/>
    <s v="Phone"/>
    <s v="Electronics"/>
    <d v="2024-02-18T00:00:00"/>
    <n v="800"/>
    <n v="500"/>
    <n v="300"/>
  </r>
  <r>
    <n v="1003"/>
    <x v="2"/>
    <s v="East"/>
    <s v="Laptop"/>
    <s v="Electronics"/>
    <d v="2024-02-25T00:00:00"/>
    <n v="1600"/>
    <n v="1100"/>
    <n v="500"/>
  </r>
  <r>
    <n v="1004"/>
    <x v="0"/>
    <s v="North"/>
    <s v="Chair"/>
    <s v="Furniture"/>
    <d v="2024-03-05T00:00:00"/>
    <n v="300"/>
    <n v="150"/>
    <n v="150"/>
  </r>
  <r>
    <n v="1005"/>
    <x v="1"/>
    <s v="West"/>
    <s v="Desk"/>
    <s v="Furniture"/>
    <d v="2024-03-18T00:00:00"/>
    <n v="500"/>
    <n v="300"/>
    <n v="200"/>
  </r>
  <r>
    <n v="1006"/>
    <x v="2"/>
    <s v="East"/>
    <s v="Phone"/>
    <s v="Electronics"/>
    <d v="2024-04-10T00:00:00"/>
    <n v="900"/>
    <n v="600"/>
    <n v="300"/>
  </r>
  <r>
    <n v="1007"/>
    <x v="0"/>
    <s v="North"/>
    <s v="Desk"/>
    <s v="Furniture"/>
    <d v="2024-04-22T00:00:00"/>
    <n v="550"/>
    <n v="350"/>
    <n v="200"/>
  </r>
  <r>
    <n v="1008"/>
    <x v="1"/>
    <s v="South"/>
    <s v="Laptop"/>
    <s v="Electronics"/>
    <d v="2024-05-14T00:00:00"/>
    <n v="1700"/>
    <n v="1200"/>
    <n v="500"/>
  </r>
  <r>
    <n v="1009"/>
    <x v="2"/>
    <s v="East"/>
    <s v="Chair"/>
    <s v="Furniture"/>
    <d v="2024-05-28T00:00:00"/>
    <n v="350"/>
    <n v="200"/>
    <n v="150"/>
  </r>
  <r>
    <n v="1010"/>
    <x v="0"/>
    <s v="West"/>
    <s v="Phone"/>
    <s v="Electronics"/>
    <d v="2024-06-03T00:00:00"/>
    <n v="750"/>
    <n v="450"/>
    <n v="3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F5E1F0-AE9A-4744-910D-2CE021E7E400}"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ategory">
  <location ref="B93:C96" firstHeaderRow="1" firstDataRow="1" firstDataCol="1"/>
  <pivotFields count="9">
    <pivotField showAll="0"/>
    <pivotField showAll="0">
      <items count="4">
        <item x="0"/>
        <item x="1"/>
        <item x="2"/>
        <item t="default"/>
      </items>
    </pivotField>
    <pivotField showAll="0">
      <items count="5">
        <item x="2"/>
        <item x="0"/>
        <item x="1"/>
        <item x="3"/>
        <item t="default"/>
      </items>
    </pivotField>
    <pivotField showAll="0"/>
    <pivotField axis="axisRow" showAll="0">
      <items count="3">
        <item x="0"/>
        <item x="1"/>
        <item t="default"/>
      </items>
    </pivotField>
    <pivotField numFmtId="14" showAll="0">
      <items count="11">
        <item x="0"/>
        <item x="1"/>
        <item x="2"/>
        <item x="3"/>
        <item x="4"/>
        <item x="5"/>
        <item x="6"/>
        <item x="7"/>
        <item x="8"/>
        <item x="9"/>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Sum of Revenue ($)"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7999C1-20DD-C44F-9BB3-0AE3C7422E69}"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ansaction ID">
  <location ref="B77:C88" firstHeaderRow="1" firstDataRow="1" firstDataCol="1"/>
  <pivotFields count="9">
    <pivotField axis="axisRow" showAll="0">
      <items count="11">
        <item x="0"/>
        <item x="1"/>
        <item x="2"/>
        <item x="3"/>
        <item x="4"/>
        <item x="5"/>
        <item x="6"/>
        <item x="7"/>
        <item x="8"/>
        <item x="9"/>
        <item t="default"/>
      </items>
    </pivotField>
    <pivotField showAll="0"/>
    <pivotField showAll="0">
      <items count="5">
        <item x="2"/>
        <item x="0"/>
        <item x="1"/>
        <item x="3"/>
        <item t="default"/>
      </items>
    </pivotField>
    <pivotField showAll="0"/>
    <pivotField showAll="0">
      <items count="3">
        <item x="0"/>
        <item x="1"/>
        <item t="default"/>
      </items>
    </pivotField>
    <pivotField numFmtId="14" showAll="0">
      <items count="11">
        <item x="0"/>
        <item x="1"/>
        <item x="2"/>
        <item x="3"/>
        <item x="4"/>
        <item x="5"/>
        <item x="6"/>
        <item x="7"/>
        <item x="8"/>
        <item x="9"/>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0"/>
  </rowFields>
  <rowItems count="11">
    <i>
      <x/>
    </i>
    <i>
      <x v="1"/>
    </i>
    <i>
      <x v="2"/>
    </i>
    <i>
      <x v="3"/>
    </i>
    <i>
      <x v="4"/>
    </i>
    <i>
      <x v="5"/>
    </i>
    <i>
      <x v="6"/>
    </i>
    <i>
      <x v="7"/>
    </i>
    <i>
      <x v="8"/>
    </i>
    <i>
      <x v="9"/>
    </i>
    <i t="grand">
      <x/>
    </i>
  </rowItems>
  <colItems count="1">
    <i/>
  </colItems>
  <dataFields count="1">
    <dataField name="Sum of Revenue ($)" fld="6" baseField="0" baseItem="0"/>
  </dataFields>
  <conditionalFormats count="3">
    <conditionalFormat priority="3">
      <pivotAreas count="1">
        <pivotArea type="data" collapsedLevelsAreSubtotals="1" fieldPosition="0">
          <references count="2">
            <reference field="4294967294" count="1" selected="0">
              <x v="0"/>
            </reference>
            <reference field="0" count="1">
              <x v="0"/>
            </reference>
          </references>
        </pivotArea>
      </pivotAreas>
    </conditionalFormat>
    <conditionalFormat priority="2">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 priority="1">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7FD895-26F4-254B-971C-EA185E827C23}"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C20" firstHeaderRow="1" firstDataRow="1" firstDataCol="1"/>
  <pivotFields count="9">
    <pivotField showAll="0"/>
    <pivotField showAll="0"/>
    <pivotField axis="axisRow" showAll="0">
      <items count="5">
        <item x="2"/>
        <item x="0"/>
        <item x="1"/>
        <item x="3"/>
        <item t="default"/>
      </items>
    </pivotField>
    <pivotField showAll="0"/>
    <pivotField showAll="0">
      <items count="3">
        <item x="0"/>
        <item x="1"/>
        <item t="default"/>
      </items>
    </pivotField>
    <pivotField numFmtId="14" showAll="0">
      <items count="11">
        <item x="0"/>
        <item x="1"/>
        <item x="2"/>
        <item x="3"/>
        <item x="4"/>
        <item x="5"/>
        <item x="6"/>
        <item x="7"/>
        <item x="8"/>
        <item x="9"/>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Revenu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8767ED-C8C0-8C4F-B707-B6D031DE1E62}"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5:C60" firstHeaderRow="1" firstDataRow="1" firstDataCol="1"/>
  <pivotFields count="9">
    <pivotField showAll="0"/>
    <pivotField showAll="0">
      <items count="4">
        <item x="0"/>
        <item x="1"/>
        <item x="2"/>
        <item t="default"/>
      </items>
    </pivotField>
    <pivotField axis="axisRow" showAll="0">
      <items count="5">
        <item x="2"/>
        <item x="0"/>
        <item x="1"/>
        <item x="3"/>
        <item t="default"/>
      </items>
    </pivotField>
    <pivotField showAll="0"/>
    <pivotField showAll="0">
      <items count="3">
        <item x="0"/>
        <item x="1"/>
        <item t="default"/>
      </items>
    </pivotField>
    <pivotField numFmtId="14" showAll="0">
      <items count="11">
        <item x="0"/>
        <item x="1"/>
        <item x="2"/>
        <item x="3"/>
        <item x="4"/>
        <item x="5"/>
        <item x="6"/>
        <item x="7"/>
        <item x="8"/>
        <item x="9"/>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Revenu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1A7FCD-BA08-F949-9093-60752F491A53}"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B69:C72" firstHeaderRow="1" firstDataRow="1" firstDataCol="1"/>
  <pivotFields count="9">
    <pivotField showAll="0"/>
    <pivotField showAll="0">
      <items count="4">
        <item x="0"/>
        <item x="1"/>
        <item x="2"/>
        <item t="default"/>
      </items>
    </pivotField>
    <pivotField showAll="0">
      <items count="5">
        <item x="2"/>
        <item x="0"/>
        <item x="1"/>
        <item x="3"/>
        <item t="default"/>
      </items>
    </pivotField>
    <pivotField showAll="0"/>
    <pivotField axis="axisRow" showAll="0">
      <items count="3">
        <item x="0"/>
        <item x="1"/>
        <item t="default"/>
      </items>
    </pivotField>
    <pivotField numFmtId="14" showAll="0">
      <items count="11">
        <item x="0"/>
        <item x="1"/>
        <item x="2"/>
        <item x="3"/>
        <item x="4"/>
        <item x="5"/>
        <item x="6"/>
        <item x="7"/>
        <item x="8"/>
        <item x="9"/>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Sum of Revenu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609254-CA45-6F44-9C34-F8BA24215EF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7:C51" firstHeaderRow="1" firstDataRow="1" firstDataCol="1"/>
  <pivotFields count="9">
    <pivotField showAll="0"/>
    <pivotField axis="axisRow" showAll="0">
      <items count="4">
        <item x="0"/>
        <item x="1"/>
        <item x="2"/>
        <item t="default"/>
      </items>
    </pivotField>
    <pivotField showAll="0"/>
    <pivotField showAll="0"/>
    <pivotField showAll="0"/>
    <pivotField numFmtId="14" showAll="0"/>
    <pivotField showAll="0"/>
    <pivotField showAll="0"/>
    <pivotField dataField="1" showAll="0"/>
  </pivotFields>
  <rowFields count="1">
    <field x="1"/>
  </rowFields>
  <rowItems count="4">
    <i>
      <x/>
    </i>
    <i>
      <x v="1"/>
    </i>
    <i>
      <x v="2"/>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532E4F35-5294-694B-A9FC-81CB7812C3C3}" sourceName="Salesperson">
  <pivotTables>
    <pivotTable tabId="1" name="PivotTable2"/>
    <pivotTable tabId="1" name="PivotTable3"/>
    <pivotTable tabId="1" name="PivotTable6"/>
  </pivotTables>
  <data>
    <tabular pivotCacheId="42140445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B1FF9AEA-6C9D-E643-A2C2-99C5794FF525}" cache="Slicer_Salesperson" caption="Salesperson"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03B6108-C07A-6444-BE01-75FEFFEF9165}">
  <we:reference id="wa200001584" version="3.0.5.6" store="en-GB"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900B9-E122-F541-B4F3-29E7E15F9D4E}">
  <dimension ref="A1:J113"/>
  <sheetViews>
    <sheetView tabSelected="1" zoomScale="150" zoomScaleNormal="150" workbookViewId="0">
      <selection activeCell="A111" sqref="A111"/>
    </sheetView>
  </sheetViews>
  <sheetFormatPr baseColWidth="10" defaultRowHeight="16" x14ac:dyDescent="0.2"/>
  <cols>
    <col min="1" max="2" width="13" bestFit="1" customWidth="1"/>
    <col min="3" max="3" width="17" bestFit="1" customWidth="1"/>
    <col min="4" max="4" width="11.5" customWidth="1"/>
    <col min="5" max="5" width="13" customWidth="1"/>
    <col min="11" max="11" width="13" bestFit="1" customWidth="1"/>
    <col min="12" max="12" width="17" bestFit="1" customWidth="1"/>
  </cols>
  <sheetData>
    <row r="1" spans="1:10" ht="22" x14ac:dyDescent="0.3">
      <c r="D1" s="22" t="s">
        <v>60</v>
      </c>
      <c r="J1" s="20"/>
    </row>
    <row r="2" spans="1:10" x14ac:dyDescent="0.2">
      <c r="A2" s="1" t="s">
        <v>0</v>
      </c>
      <c r="B2" s="11" t="s">
        <v>1</v>
      </c>
      <c r="C2" s="11" t="s">
        <v>2</v>
      </c>
      <c r="D2" s="11" t="s">
        <v>3</v>
      </c>
      <c r="E2" s="11" t="s">
        <v>4</v>
      </c>
      <c r="F2" s="11" t="s">
        <v>5</v>
      </c>
      <c r="G2" s="1" t="s">
        <v>6</v>
      </c>
      <c r="H2" s="11" t="s">
        <v>7</v>
      </c>
      <c r="I2" s="18" t="s">
        <v>54</v>
      </c>
      <c r="J2" s="21"/>
    </row>
    <row r="3" spans="1:10" x14ac:dyDescent="0.2">
      <c r="A3" s="2">
        <v>1001</v>
      </c>
      <c r="B3" s="2" t="s">
        <v>8</v>
      </c>
      <c r="C3" s="2" t="s">
        <v>9</v>
      </c>
      <c r="D3" s="2" t="s">
        <v>10</v>
      </c>
      <c r="E3" s="2" t="s">
        <v>11</v>
      </c>
      <c r="F3" s="3">
        <v>45303</v>
      </c>
      <c r="G3" s="2">
        <v>1500</v>
      </c>
      <c r="H3" s="2">
        <v>1000</v>
      </c>
      <c r="I3" s="19">
        <f>G3-H3</f>
        <v>500</v>
      </c>
      <c r="J3" s="21"/>
    </row>
    <row r="4" spans="1:10" x14ac:dyDescent="0.2">
      <c r="A4" s="2">
        <v>1002</v>
      </c>
      <c r="B4" s="2" t="s">
        <v>12</v>
      </c>
      <c r="C4" s="2" t="s">
        <v>13</v>
      </c>
      <c r="D4" s="2" t="s">
        <v>14</v>
      </c>
      <c r="E4" s="2" t="s">
        <v>11</v>
      </c>
      <c r="F4" s="3">
        <v>45340</v>
      </c>
      <c r="G4" s="2">
        <v>800</v>
      </c>
      <c r="H4" s="2">
        <v>500</v>
      </c>
      <c r="I4" s="19">
        <f t="shared" ref="I4:I12" si="0">G4-H4</f>
        <v>300</v>
      </c>
      <c r="J4" s="21"/>
    </row>
    <row r="5" spans="1:10" x14ac:dyDescent="0.2">
      <c r="A5" s="2">
        <v>1003</v>
      </c>
      <c r="B5" s="2" t="s">
        <v>15</v>
      </c>
      <c r="C5" s="2" t="s">
        <v>16</v>
      </c>
      <c r="D5" s="2" t="s">
        <v>10</v>
      </c>
      <c r="E5" s="2" t="s">
        <v>11</v>
      </c>
      <c r="F5" s="3">
        <v>45347</v>
      </c>
      <c r="G5" s="2">
        <v>1600</v>
      </c>
      <c r="H5" s="2">
        <v>1100</v>
      </c>
      <c r="I5" s="19">
        <f t="shared" si="0"/>
        <v>500</v>
      </c>
      <c r="J5" s="21"/>
    </row>
    <row r="6" spans="1:10" x14ac:dyDescent="0.2">
      <c r="A6" s="2">
        <v>1004</v>
      </c>
      <c r="B6" s="2" t="s">
        <v>8</v>
      </c>
      <c r="C6" s="2" t="s">
        <v>9</v>
      </c>
      <c r="D6" s="2" t="s">
        <v>17</v>
      </c>
      <c r="E6" s="2" t="s">
        <v>18</v>
      </c>
      <c r="F6" s="3">
        <v>45356</v>
      </c>
      <c r="G6" s="2">
        <v>300</v>
      </c>
      <c r="H6" s="2">
        <v>150</v>
      </c>
      <c r="I6" s="19">
        <f t="shared" si="0"/>
        <v>150</v>
      </c>
      <c r="J6" s="21"/>
    </row>
    <row r="7" spans="1:10" x14ac:dyDescent="0.2">
      <c r="A7" s="2">
        <v>1005</v>
      </c>
      <c r="B7" s="2" t="s">
        <v>12</v>
      </c>
      <c r="C7" s="2" t="s">
        <v>19</v>
      </c>
      <c r="D7" s="2" t="s">
        <v>20</v>
      </c>
      <c r="E7" s="2" t="s">
        <v>18</v>
      </c>
      <c r="F7" s="3">
        <v>45369</v>
      </c>
      <c r="G7" s="2">
        <v>500</v>
      </c>
      <c r="H7" s="2">
        <v>300</v>
      </c>
      <c r="I7" s="19">
        <f t="shared" si="0"/>
        <v>200</v>
      </c>
      <c r="J7" s="21"/>
    </row>
    <row r="8" spans="1:10" x14ac:dyDescent="0.2">
      <c r="A8" s="2">
        <v>1006</v>
      </c>
      <c r="B8" s="2" t="s">
        <v>15</v>
      </c>
      <c r="C8" s="2" t="s">
        <v>16</v>
      </c>
      <c r="D8" s="2" t="s">
        <v>14</v>
      </c>
      <c r="E8" s="2" t="s">
        <v>11</v>
      </c>
      <c r="F8" s="3">
        <v>45392</v>
      </c>
      <c r="G8" s="2">
        <v>900</v>
      </c>
      <c r="H8" s="2">
        <v>600</v>
      </c>
      <c r="I8" s="19">
        <f t="shared" si="0"/>
        <v>300</v>
      </c>
      <c r="J8" s="21"/>
    </row>
    <row r="9" spans="1:10" x14ac:dyDescent="0.2">
      <c r="A9" s="2">
        <v>1007</v>
      </c>
      <c r="B9" s="2" t="s">
        <v>8</v>
      </c>
      <c r="C9" s="2" t="s">
        <v>9</v>
      </c>
      <c r="D9" s="2" t="s">
        <v>20</v>
      </c>
      <c r="E9" s="2" t="s">
        <v>18</v>
      </c>
      <c r="F9" s="3">
        <v>45404</v>
      </c>
      <c r="G9" s="2">
        <v>550</v>
      </c>
      <c r="H9" s="2">
        <v>350</v>
      </c>
      <c r="I9" s="19">
        <f t="shared" si="0"/>
        <v>200</v>
      </c>
      <c r="J9" s="21"/>
    </row>
    <row r="10" spans="1:10" x14ac:dyDescent="0.2">
      <c r="A10" s="2">
        <v>1008</v>
      </c>
      <c r="B10" s="2" t="s">
        <v>12</v>
      </c>
      <c r="C10" s="2" t="s">
        <v>13</v>
      </c>
      <c r="D10" s="2" t="s">
        <v>10</v>
      </c>
      <c r="E10" s="2" t="s">
        <v>11</v>
      </c>
      <c r="F10" s="3">
        <v>45426</v>
      </c>
      <c r="G10" s="2">
        <v>1700</v>
      </c>
      <c r="H10" s="2">
        <v>1200</v>
      </c>
      <c r="I10" s="19">
        <f t="shared" si="0"/>
        <v>500</v>
      </c>
      <c r="J10" s="21"/>
    </row>
    <row r="11" spans="1:10" x14ac:dyDescent="0.2">
      <c r="A11" s="2">
        <v>1009</v>
      </c>
      <c r="B11" s="2" t="s">
        <v>15</v>
      </c>
      <c r="C11" s="2" t="s">
        <v>16</v>
      </c>
      <c r="D11" s="2" t="s">
        <v>17</v>
      </c>
      <c r="E11" s="2" t="s">
        <v>18</v>
      </c>
      <c r="F11" s="3">
        <v>45440</v>
      </c>
      <c r="G11" s="2">
        <v>350</v>
      </c>
      <c r="H11" s="2">
        <v>200</v>
      </c>
      <c r="I11" s="19">
        <f t="shared" si="0"/>
        <v>150</v>
      </c>
      <c r="J11" s="21"/>
    </row>
    <row r="12" spans="1:10" x14ac:dyDescent="0.2">
      <c r="A12" s="2">
        <v>1010</v>
      </c>
      <c r="B12" s="2" t="s">
        <v>8</v>
      </c>
      <c r="C12" s="2" t="s">
        <v>19</v>
      </c>
      <c r="D12" s="2" t="s">
        <v>14</v>
      </c>
      <c r="E12" s="2" t="s">
        <v>11</v>
      </c>
      <c r="F12" s="3">
        <v>45446</v>
      </c>
      <c r="G12" s="2">
        <v>750</v>
      </c>
      <c r="H12" s="2">
        <v>450</v>
      </c>
      <c r="I12" s="19">
        <f t="shared" si="0"/>
        <v>300</v>
      </c>
    </row>
    <row r="13" spans="1:10" x14ac:dyDescent="0.2">
      <c r="C13" s="10"/>
      <c r="D13" s="10"/>
      <c r="E13" s="10"/>
      <c r="F13" s="10"/>
      <c r="G13" s="10"/>
      <c r="H13" s="10"/>
    </row>
    <row r="14" spans="1:10" ht="19" x14ac:dyDescent="0.25">
      <c r="A14" s="16" t="s">
        <v>24</v>
      </c>
      <c r="B14" s="17" t="s">
        <v>35</v>
      </c>
    </row>
    <row r="15" spans="1:10" x14ac:dyDescent="0.2">
      <c r="A15" s="8" t="s">
        <v>38</v>
      </c>
      <c r="B15" s="4" t="s">
        <v>21</v>
      </c>
      <c r="C15" t="s">
        <v>23</v>
      </c>
      <c r="E15" s="8" t="s">
        <v>29</v>
      </c>
      <c r="F15" s="9"/>
      <c r="G15" s="9"/>
    </row>
    <row r="16" spans="1:10" x14ac:dyDescent="0.2">
      <c r="B16" s="5" t="s">
        <v>16</v>
      </c>
      <c r="C16">
        <v>2850</v>
      </c>
      <c r="D16" s="6">
        <v>1</v>
      </c>
      <c r="E16" s="7" t="s">
        <v>27</v>
      </c>
    </row>
    <row r="17" spans="1:7" x14ac:dyDescent="0.2">
      <c r="B17" s="5" t="s">
        <v>9</v>
      </c>
      <c r="C17">
        <v>2350</v>
      </c>
      <c r="D17" s="6">
        <v>2</v>
      </c>
      <c r="E17" s="7" t="s">
        <v>30</v>
      </c>
    </row>
    <row r="18" spans="1:7" x14ac:dyDescent="0.2">
      <c r="B18" s="5" t="s">
        <v>13</v>
      </c>
      <c r="C18">
        <v>2500</v>
      </c>
      <c r="D18" s="6">
        <v>3</v>
      </c>
      <c r="E18" s="7" t="s">
        <v>31</v>
      </c>
    </row>
    <row r="19" spans="1:7" x14ac:dyDescent="0.2">
      <c r="B19" s="5" t="s">
        <v>19</v>
      </c>
      <c r="C19">
        <v>1250</v>
      </c>
      <c r="D19" s="6">
        <v>4</v>
      </c>
      <c r="E19" s="7" t="s">
        <v>28</v>
      </c>
    </row>
    <row r="20" spans="1:7" x14ac:dyDescent="0.2">
      <c r="B20" s="5" t="s">
        <v>22</v>
      </c>
      <c r="C20">
        <v>8950</v>
      </c>
    </row>
    <row r="23" spans="1:7" ht="19" x14ac:dyDescent="0.25">
      <c r="A23" s="12" t="s">
        <v>25</v>
      </c>
      <c r="B23" s="15" t="s">
        <v>26</v>
      </c>
      <c r="C23" s="6"/>
      <c r="D23" s="6"/>
      <c r="E23" s="6"/>
      <c r="F23" s="6"/>
    </row>
    <row r="24" spans="1:7" x14ac:dyDescent="0.2">
      <c r="A24" s="8" t="s">
        <v>38</v>
      </c>
      <c r="B24" s="8" t="s">
        <v>43</v>
      </c>
    </row>
    <row r="25" spans="1:7" x14ac:dyDescent="0.2">
      <c r="A25" s="6">
        <v>1</v>
      </c>
      <c r="B25" s="7" t="s">
        <v>34</v>
      </c>
    </row>
    <row r="26" spans="1:7" x14ac:dyDescent="0.2">
      <c r="A26" s="6">
        <v>2</v>
      </c>
      <c r="B26" s="7" t="s">
        <v>32</v>
      </c>
    </row>
    <row r="27" spans="1:7" x14ac:dyDescent="0.2">
      <c r="A27" s="6">
        <v>3</v>
      </c>
      <c r="B27" s="7" t="s">
        <v>33</v>
      </c>
    </row>
    <row r="30" spans="1:7" ht="19" x14ac:dyDescent="0.25">
      <c r="A30" s="12" t="s">
        <v>36</v>
      </c>
      <c r="B30" s="23" t="s">
        <v>39</v>
      </c>
      <c r="C30" s="12"/>
      <c r="D30" s="6"/>
      <c r="E30" s="6"/>
      <c r="F30" s="6"/>
      <c r="G30" s="6"/>
    </row>
    <row r="31" spans="1:7" ht="19" x14ac:dyDescent="0.25">
      <c r="A31" s="12"/>
      <c r="B31" s="13" t="s">
        <v>37</v>
      </c>
      <c r="C31" s="14"/>
    </row>
    <row r="32" spans="1:7" x14ac:dyDescent="0.2">
      <c r="A32" s="8" t="s">
        <v>38</v>
      </c>
      <c r="B32" s="8" t="s">
        <v>40</v>
      </c>
    </row>
    <row r="33" spans="1:3" x14ac:dyDescent="0.2">
      <c r="A33" s="6">
        <v>1</v>
      </c>
      <c r="B33" t="s">
        <v>41</v>
      </c>
    </row>
    <row r="34" spans="1:3" x14ac:dyDescent="0.2">
      <c r="A34" s="6">
        <v>2</v>
      </c>
      <c r="B34" s="7" t="s">
        <v>42</v>
      </c>
    </row>
    <row r="35" spans="1:3" x14ac:dyDescent="0.2">
      <c r="A35" s="6">
        <v>3</v>
      </c>
      <c r="B35" t="s">
        <v>44</v>
      </c>
    </row>
    <row r="38" spans="1:3" ht="19" x14ac:dyDescent="0.25">
      <c r="A38" s="12" t="s">
        <v>46</v>
      </c>
      <c r="B38" s="12" t="s">
        <v>45</v>
      </c>
    </row>
    <row r="39" spans="1:3" x14ac:dyDescent="0.2">
      <c r="A39" s="8" t="s">
        <v>47</v>
      </c>
      <c r="B39" s="8" t="s">
        <v>51</v>
      </c>
    </row>
    <row r="40" spans="1:3" x14ac:dyDescent="0.2">
      <c r="A40">
        <v>1</v>
      </c>
      <c r="B40" s="7" t="s">
        <v>48</v>
      </c>
    </row>
    <row r="41" spans="1:3" x14ac:dyDescent="0.2">
      <c r="A41">
        <v>2</v>
      </c>
      <c r="B41" s="7" t="s">
        <v>49</v>
      </c>
    </row>
    <row r="42" spans="1:3" x14ac:dyDescent="0.2">
      <c r="A42">
        <v>3</v>
      </c>
      <c r="B42" s="7" t="s">
        <v>52</v>
      </c>
    </row>
    <row r="43" spans="1:3" x14ac:dyDescent="0.2">
      <c r="A43">
        <v>4</v>
      </c>
      <c r="B43" s="7" t="s">
        <v>50</v>
      </c>
    </row>
    <row r="46" spans="1:3" ht="19" x14ac:dyDescent="0.25">
      <c r="A46" s="12" t="s">
        <v>53</v>
      </c>
      <c r="B46" s="13" t="s">
        <v>57</v>
      </c>
    </row>
    <row r="47" spans="1:3" x14ac:dyDescent="0.2">
      <c r="A47" s="8" t="s">
        <v>56</v>
      </c>
      <c r="B47" s="4" t="s">
        <v>21</v>
      </c>
      <c r="C47" t="s">
        <v>55</v>
      </c>
    </row>
    <row r="48" spans="1:3" x14ac:dyDescent="0.2">
      <c r="B48" s="5" t="s">
        <v>8</v>
      </c>
      <c r="C48">
        <v>1150</v>
      </c>
    </row>
    <row r="49" spans="1:3" x14ac:dyDescent="0.2">
      <c r="B49" s="5" t="s">
        <v>12</v>
      </c>
      <c r="C49">
        <v>1000</v>
      </c>
    </row>
    <row r="50" spans="1:3" x14ac:dyDescent="0.2">
      <c r="B50" s="5" t="s">
        <v>15</v>
      </c>
      <c r="C50">
        <v>950</v>
      </c>
    </row>
    <row r="51" spans="1:3" x14ac:dyDescent="0.2">
      <c r="B51" s="5" t="s">
        <v>22</v>
      </c>
      <c r="C51">
        <v>3100</v>
      </c>
    </row>
    <row r="54" spans="1:3" ht="19" x14ac:dyDescent="0.25">
      <c r="A54" s="12" t="s">
        <v>58</v>
      </c>
      <c r="B54" s="15" t="s">
        <v>59</v>
      </c>
    </row>
    <row r="55" spans="1:3" x14ac:dyDescent="0.2">
      <c r="A55" s="8" t="s">
        <v>56</v>
      </c>
      <c r="B55" s="4" t="s">
        <v>21</v>
      </c>
      <c r="C55" t="s">
        <v>23</v>
      </c>
    </row>
    <row r="56" spans="1:3" x14ac:dyDescent="0.2">
      <c r="B56" s="5" t="s">
        <v>16</v>
      </c>
      <c r="C56" s="24">
        <v>2850</v>
      </c>
    </row>
    <row r="57" spans="1:3" x14ac:dyDescent="0.2">
      <c r="B57" s="5" t="s">
        <v>9</v>
      </c>
      <c r="C57" s="24">
        <v>2350</v>
      </c>
    </row>
    <row r="58" spans="1:3" x14ac:dyDescent="0.2">
      <c r="B58" s="5" t="s">
        <v>13</v>
      </c>
      <c r="C58" s="24">
        <v>2500</v>
      </c>
    </row>
    <row r="59" spans="1:3" x14ac:dyDescent="0.2">
      <c r="B59" s="5" t="s">
        <v>19</v>
      </c>
      <c r="C59" s="24">
        <v>1250</v>
      </c>
    </row>
    <row r="60" spans="1:3" x14ac:dyDescent="0.2">
      <c r="B60" s="5" t="s">
        <v>22</v>
      </c>
      <c r="C60" s="24">
        <v>8950</v>
      </c>
    </row>
    <row r="62" spans="1:3" x14ac:dyDescent="0.2">
      <c r="B62" s="25" t="s">
        <v>63</v>
      </c>
    </row>
    <row r="63" spans="1:3" x14ac:dyDescent="0.2">
      <c r="A63">
        <v>1</v>
      </c>
      <c r="B63" s="7" t="s">
        <v>64</v>
      </c>
    </row>
    <row r="64" spans="1:3" x14ac:dyDescent="0.2">
      <c r="A64">
        <v>2</v>
      </c>
      <c r="B64" s="7" t="s">
        <v>61</v>
      </c>
    </row>
    <row r="65" spans="1:3" x14ac:dyDescent="0.2">
      <c r="A65">
        <v>3</v>
      </c>
      <c r="B65" s="7" t="s">
        <v>62</v>
      </c>
    </row>
    <row r="67" spans="1:3" x14ac:dyDescent="0.2">
      <c r="B67" s="7"/>
    </row>
    <row r="68" spans="1:3" ht="19" x14ac:dyDescent="0.25">
      <c r="A68" s="12" t="s">
        <v>65</v>
      </c>
      <c r="B68" s="13" t="s">
        <v>66</v>
      </c>
    </row>
    <row r="69" spans="1:3" x14ac:dyDescent="0.2">
      <c r="A69" s="8" t="s">
        <v>68</v>
      </c>
      <c r="B69" s="4" t="s">
        <v>4</v>
      </c>
      <c r="C69" t="s">
        <v>23</v>
      </c>
    </row>
    <row r="70" spans="1:3" x14ac:dyDescent="0.2">
      <c r="B70" s="5" t="s">
        <v>11</v>
      </c>
      <c r="C70" s="24">
        <v>7250</v>
      </c>
    </row>
    <row r="71" spans="1:3" x14ac:dyDescent="0.2">
      <c r="B71" s="5" t="s">
        <v>18</v>
      </c>
      <c r="C71" s="24">
        <v>1700</v>
      </c>
    </row>
    <row r="72" spans="1:3" x14ac:dyDescent="0.2">
      <c r="B72" s="5" t="s">
        <v>22</v>
      </c>
      <c r="C72" s="24">
        <v>8950</v>
      </c>
    </row>
    <row r="73" spans="1:3" x14ac:dyDescent="0.2">
      <c r="B73" s="25" t="s">
        <v>67</v>
      </c>
    </row>
    <row r="76" spans="1:3" ht="19" x14ac:dyDescent="0.25">
      <c r="A76" s="12" t="s">
        <v>69</v>
      </c>
      <c r="B76" s="12" t="s">
        <v>70</v>
      </c>
    </row>
    <row r="77" spans="1:3" x14ac:dyDescent="0.2">
      <c r="A77" s="8" t="s">
        <v>56</v>
      </c>
      <c r="B77" s="4" t="s">
        <v>0</v>
      </c>
      <c r="C77" t="s">
        <v>23</v>
      </c>
    </row>
    <row r="78" spans="1:3" x14ac:dyDescent="0.2">
      <c r="B78" s="5">
        <v>1001</v>
      </c>
      <c r="C78" s="24">
        <v>1500</v>
      </c>
    </row>
    <row r="79" spans="1:3" x14ac:dyDescent="0.2">
      <c r="B79" s="5">
        <v>1002</v>
      </c>
      <c r="C79" s="24">
        <v>800</v>
      </c>
    </row>
    <row r="80" spans="1:3" x14ac:dyDescent="0.2">
      <c r="B80" s="5">
        <v>1003</v>
      </c>
      <c r="C80" s="24">
        <v>1600</v>
      </c>
    </row>
    <row r="81" spans="1:3" x14ac:dyDescent="0.2">
      <c r="B81" s="5">
        <v>1004</v>
      </c>
      <c r="C81" s="24">
        <v>300</v>
      </c>
    </row>
    <row r="82" spans="1:3" x14ac:dyDescent="0.2">
      <c r="B82" s="5">
        <v>1005</v>
      </c>
      <c r="C82" s="24">
        <v>500</v>
      </c>
    </row>
    <row r="83" spans="1:3" x14ac:dyDescent="0.2">
      <c r="B83" s="5">
        <v>1006</v>
      </c>
      <c r="C83" s="24">
        <v>900</v>
      </c>
    </row>
    <row r="84" spans="1:3" x14ac:dyDescent="0.2">
      <c r="B84" s="5">
        <v>1007</v>
      </c>
      <c r="C84" s="24">
        <v>550</v>
      </c>
    </row>
    <row r="85" spans="1:3" x14ac:dyDescent="0.2">
      <c r="B85" s="5">
        <v>1008</v>
      </c>
      <c r="C85" s="24">
        <v>1700</v>
      </c>
    </row>
    <row r="86" spans="1:3" x14ac:dyDescent="0.2">
      <c r="B86" s="5">
        <v>1009</v>
      </c>
      <c r="C86" s="24">
        <v>350</v>
      </c>
    </row>
    <row r="87" spans="1:3" x14ac:dyDescent="0.2">
      <c r="B87" s="5">
        <v>1010</v>
      </c>
      <c r="C87" s="24">
        <v>750</v>
      </c>
    </row>
    <row r="88" spans="1:3" x14ac:dyDescent="0.2">
      <c r="B88" s="5" t="s">
        <v>22</v>
      </c>
      <c r="C88" s="24">
        <v>8950</v>
      </c>
    </row>
    <row r="91" spans="1:3" ht="19" x14ac:dyDescent="0.25">
      <c r="A91" s="12" t="s">
        <v>71</v>
      </c>
      <c r="B91" s="12" t="s">
        <v>74</v>
      </c>
    </row>
    <row r="92" spans="1:3" ht="19" x14ac:dyDescent="0.25">
      <c r="A92" s="12"/>
      <c r="B92" s="12" t="s">
        <v>75</v>
      </c>
    </row>
    <row r="93" spans="1:3" x14ac:dyDescent="0.2">
      <c r="A93" s="8" t="s">
        <v>68</v>
      </c>
      <c r="B93" s="4" t="s">
        <v>4</v>
      </c>
      <c r="C93" t="s">
        <v>23</v>
      </c>
    </row>
    <row r="94" spans="1:3" x14ac:dyDescent="0.2">
      <c r="B94" s="5" t="s">
        <v>11</v>
      </c>
      <c r="C94" s="24">
        <v>7250</v>
      </c>
    </row>
    <row r="95" spans="1:3" x14ac:dyDescent="0.2">
      <c r="B95" s="5" t="s">
        <v>18</v>
      </c>
      <c r="C95" s="24">
        <v>1700</v>
      </c>
    </row>
    <row r="96" spans="1:3" x14ac:dyDescent="0.2">
      <c r="B96" s="5" t="s">
        <v>22</v>
      </c>
      <c r="C96" s="24">
        <v>8950</v>
      </c>
    </row>
    <row r="109" spans="1:2" ht="19" x14ac:dyDescent="0.25">
      <c r="A109" s="12" t="s">
        <v>72</v>
      </c>
      <c r="B109" s="12" t="s">
        <v>73</v>
      </c>
    </row>
    <row r="110" spans="1:2" x14ac:dyDescent="0.2">
      <c r="A110" s="8" t="s">
        <v>56</v>
      </c>
      <c r="B110" s="27" t="s">
        <v>79</v>
      </c>
    </row>
    <row r="111" spans="1:2" x14ac:dyDescent="0.2">
      <c r="A111">
        <v>1</v>
      </c>
      <c r="B111" s="26" t="s">
        <v>76</v>
      </c>
    </row>
    <row r="112" spans="1:2" x14ac:dyDescent="0.2">
      <c r="A112">
        <v>2</v>
      </c>
      <c r="B112" s="26" t="s">
        <v>77</v>
      </c>
    </row>
    <row r="113" spans="1:2" x14ac:dyDescent="0.2">
      <c r="A113">
        <v>3</v>
      </c>
      <c r="B113" s="7" t="s">
        <v>78</v>
      </c>
    </row>
  </sheetData>
  <conditionalFormatting pivot="1" sqref="C78">
    <cfRule type="cellIs" dxfId="2" priority="3" operator="greaterThan">
      <formula>$C$78</formula>
    </cfRule>
  </conditionalFormatting>
  <conditionalFormatting pivot="1" sqref="C78:C87">
    <cfRule type="cellIs" dxfId="1" priority="2" operator="greaterThan">
      <formula>1500</formula>
    </cfRule>
  </conditionalFormatting>
  <conditionalFormatting pivot="1" sqref="C78:C87">
    <cfRule type="cellIs" dxfId="0" priority="1" operator="greaterThan">
      <formula>1500</formula>
    </cfRule>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Anup Singh</dc:creator>
  <cp:lastModifiedBy>Anup Singh</cp:lastModifiedBy>
  <dcterms:created xsi:type="dcterms:W3CDTF">2025-12-17T05:28:13Z</dcterms:created>
  <dcterms:modified xsi:type="dcterms:W3CDTF">2025-12-18T16:15:02Z</dcterms:modified>
</cp:coreProperties>
</file>